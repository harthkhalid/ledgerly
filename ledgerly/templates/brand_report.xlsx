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ols" sheetId="2" state="visible" r:id="rId2"/>
    <sheet name="Data" sheetId="3" state="visible" r:id="rId3"/>
  </sheets>
  <definedNames>
    <definedName name="ShippingCostPerOrder">Controls!$B$3</definedName>
    <definedName name="PackagingCostPerOrder">Controls!$B$4</definedName>
    <definedName name="PaymentProcessingPct">Controls!$B$5</definedName>
    <definedName name="MonthlyAdSpend">Controls!$B$6</definedName>
    <definedName name="MarginFloorPct">Controls!$B$7</definedName>
    <definedName name="LeadTimeDays">Controls!$B$8</definedName>
    <definedName name="SafetyStockDays">Controls!$B$9</definedName>
    <definedName name="ReportMonth">Controls!$B$10</definedName>
    <definedName name="LogoPlaceholder">Summary!$A$2</definedName>
    <definedName name="ReportTitleCell">Summary!$A$1</definedName>
    <definedName name="DataTableAnchor">Data!$A$3</definedName>
    <definedName name="_xlnm.Print_Area" localSheetId="0">'Summary'!$A$1:$D$14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Georgia"/>
      <b val="1"/>
      <color rgb="004A1942"/>
      <sz val="20"/>
    </font>
    <font>
      <name val="Georgia"/>
      <i val="1"/>
      <color rgb="009E9E9E"/>
      <sz val="10"/>
    </font>
    <font>
      <name val="Georgia"/>
      <b val="1"/>
      <color rgb="004A1942"/>
      <sz val="14"/>
    </font>
    <font>
      <name val="Georgia"/>
      <b val="1"/>
      <sz val="12"/>
    </font>
    <font>
      <name val="Georgia"/>
      <b val="1"/>
      <color rgb="004A1942"/>
      <sz val="11"/>
    </font>
    <font>
      <name val="Georgia"/>
      <b val="1"/>
      <color rgb="00FFFFFF"/>
      <sz val="11"/>
    </font>
    <font>
      <name val="Georgia"/>
      <color rgb="004A1942"/>
      <sz val="10"/>
    </font>
  </fonts>
  <fills count="5">
    <fill>
      <patternFill/>
    </fill>
    <fill>
      <patternFill patternType="gray125"/>
    </fill>
    <fill>
      <patternFill patternType="solid">
        <fgColor rgb="00F3E5F0"/>
        <bgColor rgb="00F3E5F0"/>
      </patternFill>
    </fill>
    <fill>
      <patternFill patternType="solid">
        <fgColor rgb="004A1942"/>
        <bgColor rgb="004A1942"/>
      </patternFill>
    </fill>
    <fill>
      <patternFill patternType="solid">
        <fgColor rgb="00FFF9E3"/>
        <bgColor rgb="00FFF9E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3" borderId="1" pivotButton="0" quotePrefix="0" xfId="0"/>
    <xf numFmtId="0" fontId="0" fillId="0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4" borderId="1" pivotButton="0" quotePrefix="0" xfId="0"/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pivotButton="0" quotePrefix="0" xfId="0"/>
    <xf numFmtId="0" fontId="7" fillId="2" borderId="1" pivotButton="0" quotePrefix="0" xfId="0"/>
    <xf numFmtId="164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TemplateData" displayName="tblTemplateData" ref="A2:F4" headerRowCount="1">
  <autoFilter ref="A2:F4"/>
  <tableColumns count="6">
    <tableColumn id="1" name="sku"/>
    <tableColumn id="2" name="product_title"/>
    <tableColumn id="3" name="quantity"/>
    <tableColumn id="4" name="unit_price"/>
    <tableColumn id="5" name="net_revenue"/>
    <tableColumn id="6" name="unit_cos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Ledgerly Brand Report</t>
        </is>
      </c>
    </row>
    <row r="2">
      <c r="A2" s="2" t="inlineStr">
        <is>
          <t>[LOGO]</t>
        </is>
      </c>
    </row>
    <row r="4">
      <c r="A4" s="3" t="inlineStr">
        <is>
          <t>Executive Summary</t>
        </is>
      </c>
    </row>
    <row r="6">
      <c r="A6" t="inlineStr">
        <is>
          <t>Total Line Revenue</t>
        </is>
      </c>
      <c r="B6" s="4">
        <f>SUMIF(Data!A:A,"&lt;&gt;",Data!E:E)</f>
        <v/>
      </c>
    </row>
    <row r="7">
      <c r="A7" t="inlineStr">
        <is>
          <t>Total Units</t>
        </is>
      </c>
      <c r="B7" s="5">
        <f>SUMIF(Data!A:A,"&lt;&gt;",Data!C:C)</f>
        <v/>
      </c>
    </row>
    <row r="8">
      <c r="A8" t="inlineStr">
        <is>
          <t>Line Count</t>
        </is>
      </c>
      <c r="B8" s="6">
        <f>COUNTA(Data!A:A)-1</f>
        <v/>
      </c>
    </row>
    <row r="10">
      <c r="A10" s="7" t="inlineStr">
        <is>
          <t>Assumptions mirror</t>
        </is>
      </c>
    </row>
    <row r="11">
      <c r="A11" t="inlineStr">
        <is>
          <t>Shipping / order</t>
        </is>
      </c>
      <c r="B11" s="8">
        <f>ShippingCostPerOrder</f>
        <v/>
      </c>
    </row>
    <row r="12">
      <c r="A12" t="inlineStr">
        <is>
          <t>Margin floor</t>
        </is>
      </c>
      <c r="B12" s="9">
        <f>MarginFloorPct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Controls</t>
        </is>
      </c>
    </row>
    <row r="2">
      <c r="A2" s="10" t="inlineStr">
        <is>
          <t>Assumption</t>
        </is>
      </c>
      <c r="B2" s="10" t="inlineStr">
        <is>
          <t>Value</t>
        </is>
      </c>
    </row>
    <row r="3">
      <c r="A3" s="11" t="inlineStr">
        <is>
          <t>Shipping Cost Per Order</t>
        </is>
      </c>
      <c r="B3" s="12" t="n">
        <v>12.5</v>
      </c>
    </row>
    <row r="4">
      <c r="A4" s="11" t="inlineStr">
        <is>
          <t>Packaging Cost Per Order</t>
        </is>
      </c>
      <c r="B4" s="12" t="n">
        <v>3.25</v>
      </c>
    </row>
    <row r="5">
      <c r="A5" s="11" t="inlineStr">
        <is>
          <t>Payment Processing %</t>
        </is>
      </c>
      <c r="B5" s="13" t="n">
        <v>0.029</v>
      </c>
    </row>
    <row r="6">
      <c r="A6" s="11" t="inlineStr">
        <is>
          <t>Monthly Ad Spend</t>
        </is>
      </c>
      <c r="B6" s="12" t="n">
        <v>4500</v>
      </c>
    </row>
    <row r="7">
      <c r="A7" s="11" t="inlineStr">
        <is>
          <t>Margin Floor %</t>
        </is>
      </c>
      <c r="B7" s="13" t="n">
        <v>0.35</v>
      </c>
    </row>
    <row r="8">
      <c r="A8" s="11" t="inlineStr">
        <is>
          <t>Lead Time (Days)</t>
        </is>
      </c>
      <c r="B8" s="14" t="n">
        <v>30</v>
      </c>
    </row>
    <row r="9">
      <c r="A9" s="11" t="inlineStr">
        <is>
          <t>Safety Stock (Days)</t>
        </is>
      </c>
      <c r="B9" s="14" t="n">
        <v>14</v>
      </c>
    </row>
    <row r="10">
      <c r="A10" s="11" t="inlineStr">
        <is>
          <t>Report Month</t>
        </is>
      </c>
      <c r="B10" s="14" t="inlineStr">
        <is>
          <t>2026-06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Injected Line Data</t>
        </is>
      </c>
    </row>
    <row r="2">
      <c r="A2" s="15" t="inlineStr">
        <is>
          <t>sku</t>
        </is>
      </c>
      <c r="B2" s="15" t="inlineStr">
        <is>
          <t>product_title</t>
        </is>
      </c>
      <c r="C2" s="15" t="inlineStr">
        <is>
          <t>quantity</t>
        </is>
      </c>
      <c r="D2" s="15" t="inlineStr">
        <is>
          <t>unit_price</t>
        </is>
      </c>
      <c r="E2" s="15" t="inlineStr">
        <is>
          <t>net_revenue</t>
        </is>
      </c>
      <c r="F2" s="15" t="inlineStr">
        <is>
          <t>unit_cost</t>
        </is>
      </c>
    </row>
    <row r="3">
      <c r="A3" s="16" t="inlineStr">
        <is>
          <t>SEED-001</t>
        </is>
      </c>
      <c r="B3" s="16" t="inlineStr">
        <is>
          <t>Placeholder A</t>
        </is>
      </c>
      <c r="C3" s="16" t="n">
        <v>0</v>
      </c>
      <c r="D3" s="17" t="n">
        <v>0</v>
      </c>
      <c r="E3" s="17" t="n">
        <v>0</v>
      </c>
      <c r="F3" s="17" t="n">
        <v>0</v>
      </c>
    </row>
    <row r="4">
      <c r="A4" s="18" t="inlineStr">
        <is>
          <t>SEED-002</t>
        </is>
      </c>
      <c r="B4" s="18" t="inlineStr">
        <is>
          <t>Placeholder B</t>
        </is>
      </c>
      <c r="C4" s="18" t="n">
        <v>0</v>
      </c>
      <c r="D4" s="19" t="n">
        <v>0</v>
      </c>
      <c r="E4" s="19" t="n">
        <v>0</v>
      </c>
      <c r="F4" s="1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2026-07-10T19:40:54Z</dcterms:created>
  <dcterms:modified xsi:type="dcterms:W3CDTF">2026-07-10T19:40:54Z</dcterms:modified>
</cp:coreProperties>
</file>